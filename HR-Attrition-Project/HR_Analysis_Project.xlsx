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4" sheetId="4" r:id="rId2"/>
  </sheets>
  <calcPr calcId="144525"/>
  <pivotCaches>
    <pivotCache cacheId="4" r:id="rId3"/>
  </pivotCaches>
</workbook>
</file>

<file path=xl/calcChain.xml><?xml version="1.0" encoding="utf-8"?>
<calcChain xmlns="http://schemas.openxmlformats.org/spreadsheetml/2006/main">
  <c r="J9" i="1" l="1"/>
  <c r="J6" i="1"/>
</calcChain>
</file>

<file path=xl/sharedStrings.xml><?xml version="1.0" encoding="utf-8"?>
<sst xmlns="http://schemas.openxmlformats.org/spreadsheetml/2006/main" count="156" uniqueCount="55">
  <si>
    <t>Employee ID</t>
  </si>
  <si>
    <t>Name</t>
  </si>
  <si>
    <t>Department</t>
  </si>
  <si>
    <t>Salary</t>
  </si>
  <si>
    <t>Status</t>
  </si>
  <si>
    <t>Years of Experience</t>
  </si>
  <si>
    <t>Gender</t>
  </si>
  <si>
    <t>عبد الله</t>
  </si>
  <si>
    <t>عبد العزيز</t>
  </si>
  <si>
    <t>عباس</t>
  </si>
  <si>
    <t>عادل</t>
  </si>
  <si>
    <t>علي</t>
  </si>
  <si>
    <t>أمير</t>
  </si>
  <si>
    <t>أنيس</t>
  </si>
  <si>
    <t>عاطف</t>
  </si>
  <si>
    <t>بسام</t>
  </si>
  <si>
    <t>باسم</t>
  </si>
  <si>
    <t>داود</t>
  </si>
  <si>
    <t>إحسان</t>
  </si>
  <si>
    <t>فيصل</t>
  </si>
  <si>
    <t>فرج</t>
  </si>
  <si>
    <t>غيث</t>
  </si>
  <si>
    <t>محمد</t>
  </si>
  <si>
    <t>احمد</t>
  </si>
  <si>
    <t>Male</t>
  </si>
  <si>
    <t>عايدة</t>
  </si>
  <si>
    <t>عائشة</t>
  </si>
  <si>
    <t>عبير</t>
  </si>
  <si>
    <t>آمال</t>
  </si>
  <si>
    <t>أميرة</t>
  </si>
  <si>
    <t>عفاف</t>
  </si>
  <si>
    <t>أفراح</t>
  </si>
  <si>
    <t>علياء</t>
  </si>
  <si>
    <t>اماني</t>
  </si>
  <si>
    <t>آمنة</t>
  </si>
  <si>
    <t>سلمي</t>
  </si>
  <si>
    <t>اشواق</t>
  </si>
  <si>
    <t>اسماء</t>
  </si>
  <si>
    <t>آية</t>
  </si>
  <si>
    <t>عزيزة</t>
  </si>
  <si>
    <t>بلقيس</t>
  </si>
  <si>
    <t>دلال</t>
  </si>
  <si>
    <t>Female</t>
  </si>
  <si>
    <t>Active</t>
  </si>
  <si>
    <t>Resigned</t>
  </si>
  <si>
    <t>Sales</t>
  </si>
  <si>
    <t>IT</t>
  </si>
  <si>
    <t>HR</t>
  </si>
  <si>
    <t>Marketing</t>
  </si>
  <si>
    <t>نسبة الاستقالة (Attrition Rate)</t>
  </si>
  <si>
    <t xml:space="preserve">عدد المستقلين </t>
  </si>
  <si>
    <t>Row Labels</t>
  </si>
  <si>
    <t>Grand Total</t>
  </si>
  <si>
    <t>Column Labels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</si>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</sst>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3" borderId="1" xfId="0" applyFont="1" applyFill="1" applyBorder="1"/>
    <xf numFmtId="0" fontId="0" fillId="0" borderId="8" xfId="0" applyBorder="1"/>
    <xf numFmtId="0" fontId="0" fillId="0" borderId="9" xfId="0" applyBorder="1"/>
    <xf numFmtId="0" fontId="2" fillId="2" borderId="4" xfId="2" applyBorder="1"/>
    <xf numFmtId="0" fontId="2" fillId="2" borderId="1" xfId="2" applyBorder="1"/>
    <xf numFmtId="0" fontId="2" fillId="2" borderId="5" xfId="2" applyBorder="1"/>
    <xf numFmtId="0" fontId="2" fillId="2" borderId="6" xfId="2" applyBorder="1"/>
    <xf numFmtId="0" fontId="2" fillId="2" borderId="7" xfId="2" applyBorder="1"/>
    <xf numFmtId="0" fontId="0" fillId="0" borderId="0" xfId="0" applyBorder="1"/>
    <xf numFmtId="9" fontId="0" fillId="3" borderId="1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Good" xfId="2" builtinId="26"/>
    <cellStyle name="Normal" xfId="0" builtinId="0"/>
    <cellStyle name="Percent" xfId="1" builtinId="5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[HR_Analysis_Project.xlsx]Sheet4!PivotTable1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Attrition by Department</a:t>
            </a:r>
            <a:endParaRPr lang="en-US"/>
          </a:p>
        </c:rich>
      </c:tx>
      <c:layout>
        <c:manualLayout>
          <c:xMode val="edge"/>
          <c:yMode val="edge"/>
          <c:x val="0.23792366579177604"/>
          <c:y val="1.7497812773403325E-2"/>
        </c:manualLayout>
      </c:layout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Active</c:v>
                </c:pt>
              </c:strCache>
            </c:strRef>
          </c:tx>
          <c:invertIfNegative val="0"/>
          <c:cat>
            <c:strRef>
              <c:f>Sheet4!$A$5:$A$9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Resigned</c:v>
                </c:pt>
              </c:strCache>
            </c:strRef>
          </c:tx>
          <c:invertIfNegative val="0"/>
          <c:cat>
            <c:strRef>
              <c:f>Sheet4!$A$5:$A$9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1">
                  <c:v>1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45760"/>
        <c:axId val="135847296"/>
      </c:barChart>
      <c:catAx>
        <c:axId val="135845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35847296"/>
        <c:crosses val="autoZero"/>
        <c:auto val="1"/>
        <c:lblAlgn val="ctr"/>
        <c:lblOffset val="100"/>
        <c:noMultiLvlLbl val="0"/>
      </c:catAx>
      <c:valAx>
        <c:axId val="135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845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10</xdr:row>
      <xdr:rowOff>41910</xdr:rowOff>
    </xdr:from>
    <xdr:to>
      <xdr:col>10</xdr:col>
      <xdr:colOff>289560</xdr:colOff>
      <xdr:row>25</xdr:row>
      <xdr:rowOff>41910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65.50904675926" createdVersion="4" refreshedVersion="4" minRefreshableVersion="3" recordCount="34">
  <cacheSource type="worksheet">
    <worksheetSource name="Table1"/>
  </cacheSource>
  <cacheFields count="7">
    <cacheField name="Employee ID" numFmtId="0">
      <sharedItems containsSemiMixedTypes="0" containsString="0" containsNumber="1" containsInteger="1" minValue="1" maxValue="34"/>
    </cacheField>
    <cacheField name="Name" numFmtId="0">
      <sharedItems/>
    </cacheField>
    <cacheField name="Department" numFmtId="0">
      <sharedItems count="4">
        <s v="Sales"/>
        <s v="IT"/>
        <s v="HR"/>
        <s v="Marketing"/>
      </sharedItems>
    </cacheField>
    <cacheField name="Salary" numFmtId="0">
      <sharedItems containsNonDate="0" containsString="0" containsBlank="1"/>
    </cacheField>
    <cacheField name="Status" numFmtId="0">
      <sharedItems count="2">
        <s v="Active"/>
        <s v="Resigned"/>
      </sharedItems>
    </cacheField>
    <cacheField name="Years of Experience" numFmtId="0">
      <sharedItems containsSemiMixedTypes="0" containsString="0" containsNumber="1" containsInteger="1" minValue="1" maxValue="8"/>
    </cacheField>
    <cacheField name="Gen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n v="1"/>
    <s v="عبد الله"/>
    <x v="0"/>
    <m/>
    <x v="0"/>
    <n v="1"/>
    <s v="Male"/>
  </r>
  <r>
    <n v="2"/>
    <s v="عبد العزيز"/>
    <x v="0"/>
    <m/>
    <x v="1"/>
    <n v="3"/>
    <s v="Male"/>
  </r>
  <r>
    <n v="3"/>
    <s v="عباس"/>
    <x v="0"/>
    <m/>
    <x v="0"/>
    <n v="5"/>
    <s v="Male"/>
  </r>
  <r>
    <n v="4"/>
    <s v="عادل"/>
    <x v="0"/>
    <m/>
    <x v="1"/>
    <n v="5"/>
    <s v="Male"/>
  </r>
  <r>
    <n v="5"/>
    <s v="علي"/>
    <x v="1"/>
    <m/>
    <x v="0"/>
    <n v="3"/>
    <s v="Male"/>
  </r>
  <r>
    <n v="6"/>
    <s v="أمير"/>
    <x v="1"/>
    <m/>
    <x v="1"/>
    <n v="6"/>
    <s v="Male"/>
  </r>
  <r>
    <n v="7"/>
    <s v="أنيس"/>
    <x v="1"/>
    <m/>
    <x v="0"/>
    <n v="2"/>
    <s v="Male"/>
  </r>
  <r>
    <n v="8"/>
    <s v="عاطف"/>
    <x v="1"/>
    <m/>
    <x v="0"/>
    <n v="4"/>
    <s v="Male"/>
  </r>
  <r>
    <n v="9"/>
    <s v="بسام"/>
    <x v="2"/>
    <m/>
    <x v="0"/>
    <n v="5"/>
    <s v="Male"/>
  </r>
  <r>
    <n v="10"/>
    <s v="باسم"/>
    <x v="2"/>
    <m/>
    <x v="0"/>
    <n v="1"/>
    <s v="Male"/>
  </r>
  <r>
    <n v="11"/>
    <s v="داود"/>
    <x v="2"/>
    <m/>
    <x v="0"/>
    <n v="2"/>
    <s v="Male"/>
  </r>
  <r>
    <n v="12"/>
    <s v="إحسان"/>
    <x v="2"/>
    <m/>
    <x v="0"/>
    <n v="4"/>
    <s v="Male"/>
  </r>
  <r>
    <n v="13"/>
    <s v="فيصل"/>
    <x v="3"/>
    <m/>
    <x v="0"/>
    <n v="5"/>
    <s v="Male"/>
  </r>
  <r>
    <n v="14"/>
    <s v="فرج"/>
    <x v="3"/>
    <m/>
    <x v="0"/>
    <n v="6"/>
    <s v="Male"/>
  </r>
  <r>
    <n v="15"/>
    <s v="غيث"/>
    <x v="3"/>
    <m/>
    <x v="0"/>
    <n v="8"/>
    <s v="Male"/>
  </r>
  <r>
    <n v="16"/>
    <s v="محمد"/>
    <x v="3"/>
    <m/>
    <x v="0"/>
    <n v="2"/>
    <s v="Male"/>
  </r>
  <r>
    <n v="17"/>
    <s v="احمد"/>
    <x v="3"/>
    <m/>
    <x v="0"/>
    <n v="5"/>
    <s v="Male"/>
  </r>
  <r>
    <n v="18"/>
    <s v="عايدة"/>
    <x v="0"/>
    <m/>
    <x v="0"/>
    <n v="3"/>
    <s v="Female"/>
  </r>
  <r>
    <n v="19"/>
    <s v="عائشة"/>
    <x v="0"/>
    <m/>
    <x v="0"/>
    <n v="1"/>
    <s v="Female"/>
  </r>
  <r>
    <n v="20"/>
    <s v="عبير"/>
    <x v="0"/>
    <m/>
    <x v="0"/>
    <n v="3"/>
    <s v="Female"/>
  </r>
  <r>
    <n v="21"/>
    <s v="آمال"/>
    <x v="0"/>
    <m/>
    <x v="0"/>
    <n v="4"/>
    <s v="Female"/>
  </r>
  <r>
    <n v="22"/>
    <s v="أميرة"/>
    <x v="1"/>
    <m/>
    <x v="0"/>
    <n v="6"/>
    <s v="Female"/>
  </r>
  <r>
    <n v="23"/>
    <s v="عفاف"/>
    <x v="1"/>
    <m/>
    <x v="0"/>
    <n v="7"/>
    <s v="Female"/>
  </r>
  <r>
    <n v="24"/>
    <s v="أفراح"/>
    <x v="1"/>
    <m/>
    <x v="0"/>
    <n v="8"/>
    <s v="Female"/>
  </r>
  <r>
    <n v="25"/>
    <s v="علياء"/>
    <x v="1"/>
    <m/>
    <x v="0"/>
    <n v="4"/>
    <s v="Female"/>
  </r>
  <r>
    <n v="26"/>
    <s v="اماني"/>
    <x v="2"/>
    <m/>
    <x v="0"/>
    <n v="3"/>
    <s v="Female"/>
  </r>
  <r>
    <n v="27"/>
    <s v="آمنة"/>
    <x v="2"/>
    <m/>
    <x v="0"/>
    <n v="2"/>
    <s v="Female"/>
  </r>
  <r>
    <n v="28"/>
    <s v="سلمي"/>
    <x v="2"/>
    <m/>
    <x v="0"/>
    <n v="5"/>
    <s v="Female"/>
  </r>
  <r>
    <n v="29"/>
    <s v="اشواق"/>
    <x v="2"/>
    <m/>
    <x v="0"/>
    <n v="3"/>
    <s v="Female"/>
  </r>
  <r>
    <n v="30"/>
    <s v="اسماء"/>
    <x v="3"/>
    <m/>
    <x v="1"/>
    <n v="5"/>
    <s v="Female"/>
  </r>
  <r>
    <n v="31"/>
    <s v="آية"/>
    <x v="3"/>
    <m/>
    <x v="1"/>
    <n v="7"/>
    <s v="Female"/>
  </r>
  <r>
    <n v="32"/>
    <s v="عزيزة"/>
    <x v="3"/>
    <m/>
    <x v="1"/>
    <n v="3"/>
    <s v="Female"/>
  </r>
  <r>
    <n v="33"/>
    <s v="بلقيس"/>
    <x v="3"/>
    <m/>
    <x v="1"/>
    <n v="2"/>
    <s v="Female"/>
  </r>
  <r>
    <n v="34"/>
    <s v="دلال"/>
    <x v="3"/>
    <m/>
    <x v="1"/>
    <n v="5"/>
    <s v="Fe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D9" firstHeaderRow="1" firstDataRow="2" firstDataCol="1"/>
  <pivotFields count="7"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Name" fld="1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35" totalsRowShown="0" headerRowDxfId="15" headerRowBorderDxfId="13" tableBorderDxfId="14" totalsRowBorderDxfId="12" dataCellStyle="Good">
  <autoFilter ref="A1:G35"/>
  <tableColumns count="7">
    <tableColumn id="1" name="Employee ID" dataDxfId="11" dataCellStyle="Good"/>
    <tableColumn id="2" name="Name" dataDxfId="10" dataCellStyle="Good"/>
    <tableColumn id="3" name="Department" dataDxfId="9" dataCellStyle="Good"/>
    <tableColumn id="4" name="Salary" dataDxfId="8" dataCellStyle="Good"/>
    <tableColumn id="5" name="Status" dataDxfId="7" dataCellStyle="Good"/>
    <tableColumn id="13" name="Years of Experience" dataDxfId="5" dataCellStyle="Good"/>
    <tableColumn id="6" name="Gender" dataDxfId="6" dataCellStyle="Good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6:J6" headerRowCount="0" totalsRowShown="0" headerRowDxfId="4" tableBorderDxfId="3" totalsRowBorderDxfId="2">
  <tableColumns count="2">
    <tableColumn id="1" name="Column1" dataDxfId="1"/>
    <tableColumn id="2" name="Column2" dataDxfId="0">
      <calculatedColumnFormula>COUNTIF(E2:E35, "Resigned")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zoomScale="120" zoomScaleNormal="120" workbookViewId="0">
      <selection activeCell="N17" sqref="N17"/>
    </sheetView>
  </sheetViews>
  <sheetFormatPr defaultRowHeight="14.4" x14ac:dyDescent="0.3"/>
  <cols>
    <col min="1" max="1" width="13.77734375" bestFit="1" customWidth="1"/>
    <col min="2" max="2" width="9.88671875" customWidth="1"/>
    <col min="3" max="3" width="13.33203125" bestFit="1" customWidth="1"/>
    <col min="4" max="5" width="9.88671875" customWidth="1"/>
    <col min="6" max="7" width="19.6640625" bestFit="1" customWidth="1"/>
    <col min="9" max="9" width="23.88671875" bestFit="1" customWidth="1"/>
    <col min="10" max="10" width="10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t="s">
        <v>6</v>
      </c>
    </row>
    <row r="2" spans="1:10" x14ac:dyDescent="0.3">
      <c r="A2" s="6">
        <v>1</v>
      </c>
      <c r="B2" s="7" t="s">
        <v>7</v>
      </c>
      <c r="C2" s="7" t="s">
        <v>45</v>
      </c>
      <c r="D2" s="7"/>
      <c r="E2" s="7" t="s">
        <v>43</v>
      </c>
      <c r="F2" s="8">
        <v>1</v>
      </c>
      <c r="G2" s="8" t="s">
        <v>24</v>
      </c>
    </row>
    <row r="3" spans="1:10" x14ac:dyDescent="0.3">
      <c r="A3" s="6">
        <v>2</v>
      </c>
      <c r="B3" s="7" t="s">
        <v>8</v>
      </c>
      <c r="C3" s="7" t="s">
        <v>45</v>
      </c>
      <c r="D3" s="7"/>
      <c r="E3" s="7" t="s">
        <v>44</v>
      </c>
      <c r="F3" s="8">
        <v>3</v>
      </c>
      <c r="G3" s="8" t="s">
        <v>24</v>
      </c>
    </row>
    <row r="4" spans="1:10" x14ac:dyDescent="0.3">
      <c r="A4" s="6">
        <v>3</v>
      </c>
      <c r="B4" s="7" t="s">
        <v>9</v>
      </c>
      <c r="C4" s="7" t="s">
        <v>45</v>
      </c>
      <c r="D4" s="7"/>
      <c r="E4" s="7" t="s">
        <v>43</v>
      </c>
      <c r="F4" s="8">
        <v>5</v>
      </c>
      <c r="G4" s="8" t="s">
        <v>24</v>
      </c>
    </row>
    <row r="5" spans="1:10" x14ac:dyDescent="0.3">
      <c r="A5" s="6">
        <v>4</v>
      </c>
      <c r="B5" s="7" t="s">
        <v>10</v>
      </c>
      <c r="C5" s="7" t="s">
        <v>45</v>
      </c>
      <c r="D5" s="7"/>
      <c r="E5" s="7" t="s">
        <v>44</v>
      </c>
      <c r="F5" s="8">
        <v>5</v>
      </c>
      <c r="G5" s="8" t="s">
        <v>24</v>
      </c>
    </row>
    <row r="6" spans="1:10" x14ac:dyDescent="0.3">
      <c r="A6" s="6">
        <v>5</v>
      </c>
      <c r="B6" s="7" t="s">
        <v>11</v>
      </c>
      <c r="C6" s="7" t="s">
        <v>46</v>
      </c>
      <c r="D6" s="7"/>
      <c r="E6" s="7" t="s">
        <v>43</v>
      </c>
      <c r="F6" s="8">
        <v>3</v>
      </c>
      <c r="G6" s="8" t="s">
        <v>24</v>
      </c>
      <c r="I6" s="5" t="s">
        <v>50</v>
      </c>
      <c r="J6" s="4">
        <f>COUNTIF(E2:E35, "Resigned")</f>
        <v>8</v>
      </c>
    </row>
    <row r="7" spans="1:10" x14ac:dyDescent="0.3">
      <c r="A7" s="6">
        <v>6</v>
      </c>
      <c r="B7" s="7" t="s">
        <v>12</v>
      </c>
      <c r="C7" s="7" t="s">
        <v>46</v>
      </c>
      <c r="D7" s="7"/>
      <c r="E7" s="7" t="s">
        <v>44</v>
      </c>
      <c r="F7" s="8">
        <v>6</v>
      </c>
      <c r="G7" s="8" t="s">
        <v>24</v>
      </c>
    </row>
    <row r="8" spans="1:10" x14ac:dyDescent="0.3">
      <c r="A8" s="6">
        <v>7</v>
      </c>
      <c r="B8" s="7" t="s">
        <v>13</v>
      </c>
      <c r="C8" s="7" t="s">
        <v>46</v>
      </c>
      <c r="D8" s="7"/>
      <c r="E8" s="7" t="s">
        <v>43</v>
      </c>
      <c r="F8" s="8">
        <v>2</v>
      </c>
      <c r="G8" s="8" t="s">
        <v>24</v>
      </c>
    </row>
    <row r="9" spans="1:10" x14ac:dyDescent="0.3">
      <c r="A9" s="6">
        <v>8</v>
      </c>
      <c r="B9" s="7" t="s">
        <v>14</v>
      </c>
      <c r="C9" s="7" t="s">
        <v>46</v>
      </c>
      <c r="D9" s="7"/>
      <c r="E9" s="7" t="s">
        <v>43</v>
      </c>
      <c r="F9" s="8">
        <v>4</v>
      </c>
      <c r="G9" s="8" t="s">
        <v>24</v>
      </c>
      <c r="I9" s="3" t="s">
        <v>49</v>
      </c>
      <c r="J9" s="12">
        <f>COUNTIF(E:E, "Resigned") / 34</f>
        <v>0.23529411764705882</v>
      </c>
    </row>
    <row r="10" spans="1:10" x14ac:dyDescent="0.3">
      <c r="A10" s="6">
        <v>9</v>
      </c>
      <c r="B10" s="7" t="s">
        <v>15</v>
      </c>
      <c r="C10" s="7" t="s">
        <v>47</v>
      </c>
      <c r="D10" s="7"/>
      <c r="E10" s="7" t="s">
        <v>43</v>
      </c>
      <c r="F10" s="8">
        <v>5</v>
      </c>
      <c r="G10" s="8" t="s">
        <v>24</v>
      </c>
    </row>
    <row r="11" spans="1:10" x14ac:dyDescent="0.3">
      <c r="A11" s="6">
        <v>10</v>
      </c>
      <c r="B11" s="7" t="s">
        <v>16</v>
      </c>
      <c r="C11" s="7" t="s">
        <v>47</v>
      </c>
      <c r="D11" s="7"/>
      <c r="E11" s="7" t="s">
        <v>43</v>
      </c>
      <c r="F11" s="8">
        <v>1</v>
      </c>
      <c r="G11" s="8" t="s">
        <v>24</v>
      </c>
    </row>
    <row r="12" spans="1:10" x14ac:dyDescent="0.3">
      <c r="A12" s="6">
        <v>11</v>
      </c>
      <c r="B12" s="7" t="s">
        <v>17</v>
      </c>
      <c r="C12" s="7" t="s">
        <v>47</v>
      </c>
      <c r="D12" s="7"/>
      <c r="E12" s="7" t="s">
        <v>43</v>
      </c>
      <c r="F12" s="8">
        <v>2</v>
      </c>
      <c r="G12" s="8" t="s">
        <v>24</v>
      </c>
    </row>
    <row r="13" spans="1:10" x14ac:dyDescent="0.3">
      <c r="A13" s="6">
        <v>12</v>
      </c>
      <c r="B13" s="7" t="s">
        <v>18</v>
      </c>
      <c r="C13" s="7" t="s">
        <v>47</v>
      </c>
      <c r="D13" s="7"/>
      <c r="E13" s="7" t="s">
        <v>43</v>
      </c>
      <c r="F13" s="8">
        <v>4</v>
      </c>
      <c r="G13" s="8" t="s">
        <v>24</v>
      </c>
    </row>
    <row r="14" spans="1:10" x14ac:dyDescent="0.3">
      <c r="A14" s="6">
        <v>13</v>
      </c>
      <c r="B14" s="7" t="s">
        <v>19</v>
      </c>
      <c r="C14" s="7" t="s">
        <v>48</v>
      </c>
      <c r="D14" s="7"/>
      <c r="E14" s="7" t="s">
        <v>43</v>
      </c>
      <c r="F14" s="8">
        <v>5</v>
      </c>
      <c r="G14" s="8" t="s">
        <v>24</v>
      </c>
    </row>
    <row r="15" spans="1:10" x14ac:dyDescent="0.3">
      <c r="A15" s="6">
        <v>14</v>
      </c>
      <c r="B15" s="7" t="s">
        <v>20</v>
      </c>
      <c r="C15" s="7" t="s">
        <v>48</v>
      </c>
      <c r="D15" s="7"/>
      <c r="E15" s="7" t="s">
        <v>43</v>
      </c>
      <c r="F15" s="8">
        <v>6</v>
      </c>
      <c r="G15" s="8" t="s">
        <v>24</v>
      </c>
    </row>
    <row r="16" spans="1:10" x14ac:dyDescent="0.3">
      <c r="A16" s="6">
        <v>15</v>
      </c>
      <c r="B16" s="7" t="s">
        <v>21</v>
      </c>
      <c r="C16" s="7" t="s">
        <v>48</v>
      </c>
      <c r="D16" s="7"/>
      <c r="E16" s="7" t="s">
        <v>43</v>
      </c>
      <c r="F16" s="8">
        <v>8</v>
      </c>
      <c r="G16" s="8" t="s">
        <v>24</v>
      </c>
    </row>
    <row r="17" spans="1:7" x14ac:dyDescent="0.3">
      <c r="A17" s="6">
        <v>16</v>
      </c>
      <c r="B17" s="7" t="s">
        <v>22</v>
      </c>
      <c r="C17" s="7" t="s">
        <v>48</v>
      </c>
      <c r="D17" s="7"/>
      <c r="E17" s="7" t="s">
        <v>43</v>
      </c>
      <c r="F17" s="8">
        <v>2</v>
      </c>
      <c r="G17" s="8" t="s">
        <v>24</v>
      </c>
    </row>
    <row r="18" spans="1:7" x14ac:dyDescent="0.3">
      <c r="A18" s="6">
        <v>17</v>
      </c>
      <c r="B18" s="7" t="s">
        <v>23</v>
      </c>
      <c r="C18" s="7" t="s">
        <v>48</v>
      </c>
      <c r="D18" s="7"/>
      <c r="E18" s="7" t="s">
        <v>43</v>
      </c>
      <c r="F18" s="8">
        <v>5</v>
      </c>
      <c r="G18" s="8" t="s">
        <v>24</v>
      </c>
    </row>
    <row r="19" spans="1:7" x14ac:dyDescent="0.3">
      <c r="A19" s="6">
        <v>18</v>
      </c>
      <c r="B19" s="7" t="s">
        <v>25</v>
      </c>
      <c r="C19" s="7" t="s">
        <v>45</v>
      </c>
      <c r="D19" s="7"/>
      <c r="E19" s="7" t="s">
        <v>43</v>
      </c>
      <c r="F19" s="8">
        <v>3</v>
      </c>
      <c r="G19" s="8" t="s">
        <v>42</v>
      </c>
    </row>
    <row r="20" spans="1:7" x14ac:dyDescent="0.3">
      <c r="A20" s="6">
        <v>19</v>
      </c>
      <c r="B20" s="7" t="s">
        <v>26</v>
      </c>
      <c r="C20" s="7" t="s">
        <v>45</v>
      </c>
      <c r="D20" s="7"/>
      <c r="E20" s="7" t="s">
        <v>43</v>
      </c>
      <c r="F20" s="8">
        <v>1</v>
      </c>
      <c r="G20" s="8" t="s">
        <v>42</v>
      </c>
    </row>
    <row r="21" spans="1:7" x14ac:dyDescent="0.3">
      <c r="A21" s="6">
        <v>20</v>
      </c>
      <c r="B21" s="7" t="s">
        <v>27</v>
      </c>
      <c r="C21" s="7" t="s">
        <v>45</v>
      </c>
      <c r="D21" s="7"/>
      <c r="E21" s="7" t="s">
        <v>43</v>
      </c>
      <c r="F21" s="8">
        <v>3</v>
      </c>
      <c r="G21" s="8" t="s">
        <v>42</v>
      </c>
    </row>
    <row r="22" spans="1:7" x14ac:dyDescent="0.3">
      <c r="A22" s="6">
        <v>21</v>
      </c>
      <c r="B22" s="7" t="s">
        <v>28</v>
      </c>
      <c r="C22" s="7" t="s">
        <v>45</v>
      </c>
      <c r="D22" s="7"/>
      <c r="E22" s="7" t="s">
        <v>43</v>
      </c>
      <c r="F22" s="8">
        <v>4</v>
      </c>
      <c r="G22" s="8" t="s">
        <v>42</v>
      </c>
    </row>
    <row r="23" spans="1:7" x14ac:dyDescent="0.3">
      <c r="A23" s="6">
        <v>22</v>
      </c>
      <c r="B23" s="7" t="s">
        <v>29</v>
      </c>
      <c r="C23" s="7" t="s">
        <v>46</v>
      </c>
      <c r="D23" s="7"/>
      <c r="E23" s="7" t="s">
        <v>43</v>
      </c>
      <c r="F23" s="8">
        <v>6</v>
      </c>
      <c r="G23" s="8" t="s">
        <v>42</v>
      </c>
    </row>
    <row r="24" spans="1:7" x14ac:dyDescent="0.3">
      <c r="A24" s="6">
        <v>23</v>
      </c>
      <c r="B24" s="7" t="s">
        <v>30</v>
      </c>
      <c r="C24" s="7" t="s">
        <v>46</v>
      </c>
      <c r="D24" s="7"/>
      <c r="E24" s="7" t="s">
        <v>43</v>
      </c>
      <c r="F24" s="8">
        <v>7</v>
      </c>
      <c r="G24" s="8" t="s">
        <v>42</v>
      </c>
    </row>
    <row r="25" spans="1:7" x14ac:dyDescent="0.3">
      <c r="A25" s="6">
        <v>24</v>
      </c>
      <c r="B25" s="7" t="s">
        <v>31</v>
      </c>
      <c r="C25" s="7" t="s">
        <v>46</v>
      </c>
      <c r="D25" s="7"/>
      <c r="E25" s="7" t="s">
        <v>43</v>
      </c>
      <c r="F25" s="8">
        <v>8</v>
      </c>
      <c r="G25" s="8" t="s">
        <v>42</v>
      </c>
    </row>
    <row r="26" spans="1:7" x14ac:dyDescent="0.3">
      <c r="A26" s="6">
        <v>25</v>
      </c>
      <c r="B26" s="7" t="s">
        <v>32</v>
      </c>
      <c r="C26" s="7" t="s">
        <v>46</v>
      </c>
      <c r="D26" s="7"/>
      <c r="E26" s="7" t="s">
        <v>43</v>
      </c>
      <c r="F26" s="8">
        <v>4</v>
      </c>
      <c r="G26" s="8" t="s">
        <v>42</v>
      </c>
    </row>
    <row r="27" spans="1:7" x14ac:dyDescent="0.3">
      <c r="A27" s="6">
        <v>26</v>
      </c>
      <c r="B27" s="7" t="s">
        <v>33</v>
      </c>
      <c r="C27" s="7" t="s">
        <v>47</v>
      </c>
      <c r="D27" s="7"/>
      <c r="E27" s="7" t="s">
        <v>43</v>
      </c>
      <c r="F27" s="8">
        <v>3</v>
      </c>
      <c r="G27" s="8" t="s">
        <v>42</v>
      </c>
    </row>
    <row r="28" spans="1:7" x14ac:dyDescent="0.3">
      <c r="A28" s="6">
        <v>27</v>
      </c>
      <c r="B28" s="7" t="s">
        <v>34</v>
      </c>
      <c r="C28" s="7" t="s">
        <v>47</v>
      </c>
      <c r="D28" s="7"/>
      <c r="E28" s="7" t="s">
        <v>43</v>
      </c>
      <c r="F28" s="8">
        <v>2</v>
      </c>
      <c r="G28" s="8" t="s">
        <v>42</v>
      </c>
    </row>
    <row r="29" spans="1:7" x14ac:dyDescent="0.3">
      <c r="A29" s="6">
        <v>28</v>
      </c>
      <c r="B29" s="7" t="s">
        <v>35</v>
      </c>
      <c r="C29" s="7" t="s">
        <v>47</v>
      </c>
      <c r="D29" s="7"/>
      <c r="E29" s="7" t="s">
        <v>43</v>
      </c>
      <c r="F29" s="8">
        <v>5</v>
      </c>
      <c r="G29" s="8" t="s">
        <v>42</v>
      </c>
    </row>
    <row r="30" spans="1:7" x14ac:dyDescent="0.3">
      <c r="A30" s="6">
        <v>29</v>
      </c>
      <c r="B30" s="7" t="s">
        <v>36</v>
      </c>
      <c r="C30" s="7" t="s">
        <v>47</v>
      </c>
      <c r="D30" s="7"/>
      <c r="E30" s="7" t="s">
        <v>43</v>
      </c>
      <c r="F30" s="8">
        <v>3</v>
      </c>
      <c r="G30" s="8" t="s">
        <v>42</v>
      </c>
    </row>
    <row r="31" spans="1:7" x14ac:dyDescent="0.3">
      <c r="A31" s="6">
        <v>30</v>
      </c>
      <c r="B31" s="7" t="s">
        <v>37</v>
      </c>
      <c r="C31" s="7" t="s">
        <v>48</v>
      </c>
      <c r="D31" s="7"/>
      <c r="E31" s="7" t="s">
        <v>44</v>
      </c>
      <c r="F31" s="8">
        <v>5</v>
      </c>
      <c r="G31" s="8" t="s">
        <v>42</v>
      </c>
    </row>
    <row r="32" spans="1:7" x14ac:dyDescent="0.3">
      <c r="A32" s="6">
        <v>31</v>
      </c>
      <c r="B32" s="7" t="s">
        <v>38</v>
      </c>
      <c r="C32" s="7" t="s">
        <v>48</v>
      </c>
      <c r="D32" s="7"/>
      <c r="E32" s="7" t="s">
        <v>44</v>
      </c>
      <c r="F32" s="8">
        <v>7</v>
      </c>
      <c r="G32" s="8" t="s">
        <v>42</v>
      </c>
    </row>
    <row r="33" spans="1:7" x14ac:dyDescent="0.3">
      <c r="A33" s="6">
        <v>32</v>
      </c>
      <c r="B33" s="7" t="s">
        <v>39</v>
      </c>
      <c r="C33" s="7" t="s">
        <v>48</v>
      </c>
      <c r="D33" s="7"/>
      <c r="E33" s="7" t="s">
        <v>44</v>
      </c>
      <c r="F33" s="8">
        <v>3</v>
      </c>
      <c r="G33" s="8" t="s">
        <v>42</v>
      </c>
    </row>
    <row r="34" spans="1:7" x14ac:dyDescent="0.3">
      <c r="A34" s="6">
        <v>33</v>
      </c>
      <c r="B34" s="7" t="s">
        <v>40</v>
      </c>
      <c r="C34" s="7" t="s">
        <v>48</v>
      </c>
      <c r="D34" s="7"/>
      <c r="E34" s="7" t="s">
        <v>44</v>
      </c>
      <c r="F34" s="8">
        <v>2</v>
      </c>
      <c r="G34" s="8" t="s">
        <v>42</v>
      </c>
    </row>
    <row r="35" spans="1:7" x14ac:dyDescent="0.3">
      <c r="A35" s="6">
        <v>34</v>
      </c>
      <c r="B35" s="9" t="s">
        <v>41</v>
      </c>
      <c r="C35" s="7" t="s">
        <v>48</v>
      </c>
      <c r="D35" s="9"/>
      <c r="E35" s="7" t="s">
        <v>44</v>
      </c>
      <c r="F35" s="10">
        <v>5</v>
      </c>
      <c r="G35" s="8" t="s">
        <v>42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R12" sqref="R12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3" width="8.5546875" customWidth="1"/>
    <col min="4" max="4" width="10.77734375" bestFit="1" customWidth="1"/>
  </cols>
  <sheetData>
    <row r="3" spans="1:4" x14ac:dyDescent="0.3">
      <c r="A3" s="13" t="s">
        <v>54</v>
      </c>
      <c r="B3" s="13" t="s">
        <v>53</v>
      </c>
    </row>
    <row r="4" spans="1:4" x14ac:dyDescent="0.3">
      <c r="A4" s="13" t="s">
        <v>51</v>
      </c>
      <c r="B4" t="s">
        <v>43</v>
      </c>
      <c r="C4" t="s">
        <v>44</v>
      </c>
      <c r="D4" t="s">
        <v>52</v>
      </c>
    </row>
    <row r="5" spans="1:4" x14ac:dyDescent="0.3">
      <c r="A5" s="14" t="s">
        <v>47</v>
      </c>
      <c r="B5" s="15">
        <v>8</v>
      </c>
      <c r="C5" s="15"/>
      <c r="D5" s="15">
        <v>8</v>
      </c>
    </row>
    <row r="6" spans="1:4" x14ac:dyDescent="0.3">
      <c r="A6" s="14" t="s">
        <v>46</v>
      </c>
      <c r="B6" s="15">
        <v>7</v>
      </c>
      <c r="C6" s="15">
        <v>1</v>
      </c>
      <c r="D6" s="15">
        <v>8</v>
      </c>
    </row>
    <row r="7" spans="1:4" x14ac:dyDescent="0.3">
      <c r="A7" s="14" t="s">
        <v>48</v>
      </c>
      <c r="B7" s="15">
        <v>5</v>
      </c>
      <c r="C7" s="15">
        <v>5</v>
      </c>
      <c r="D7" s="15">
        <v>10</v>
      </c>
    </row>
    <row r="8" spans="1:4" x14ac:dyDescent="0.3">
      <c r="A8" s="14" t="s">
        <v>45</v>
      </c>
      <c r="B8" s="15">
        <v>6</v>
      </c>
      <c r="C8" s="15">
        <v>2</v>
      </c>
      <c r="D8" s="15">
        <v>8</v>
      </c>
    </row>
    <row r="9" spans="1:4" x14ac:dyDescent="0.3">
      <c r="A9" s="14" t="s">
        <v>52</v>
      </c>
      <c r="B9" s="15">
        <v>26</v>
      </c>
      <c r="C9" s="15">
        <v>8</v>
      </c>
      <c r="D9" s="15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2026-02-12T11:00:26Z</dcterms:modified>
</cp:coreProperties>
</file>